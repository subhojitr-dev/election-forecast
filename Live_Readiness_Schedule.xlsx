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Key 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ddd, mmm d, yyyy"/>
  </numFmts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808080"/>
      <sz val="10"/>
    </font>
    <font>
      <name val="Calibri"/>
      <b val="1"/>
      <color rgb="00FFFFFF"/>
    </font>
    <font>
      <name val="Calibri"/>
      <b val="1"/>
    </font>
    <font>
      <name val="Calibri"/>
      <b val="1"/>
      <color rgb="00C000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4" borderId="1" pivotButton="0" quotePrefix="0" xfId="0"/>
    <xf numFmtId="165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2" customWidth="1" min="3" max="3"/>
    <col width="12" customWidth="1" min="4" max="4"/>
    <col width="12" customWidth="1" min="5" max="5"/>
    <col width="7" customWidth="1" min="6" max="6"/>
    <col width="10" customWidth="1" min="7" max="7"/>
    <col width="12" customWidth="1" min="8" max="8"/>
    <col width="13" customWidth="1" min="9" max="9"/>
    <col width="40" customWidth="1" min="10" max="10"/>
  </cols>
  <sheetData>
    <row r="1">
      <c r="A1" s="1" t="inlineStr">
        <is>
          <t>Election Forecast — Live-Readiness Schedule for Nov 3, 2026</t>
        </is>
      </c>
    </row>
    <row r="2">
      <c r="A2" s="2" t="inlineStr">
        <is>
          <t>Work starts Thursday, July 9, 2026.  Red = critical path.  Orange = fixed, irreplaceable deadline (primary/election).</t>
        </is>
      </c>
    </row>
    <row r="4">
      <c r="A4" s="3" t="inlineStr">
        <is>
          <t>ID</t>
        </is>
      </c>
      <c r="B4" s="3" t="inlineStr">
        <is>
          <t>Phase</t>
        </is>
      </c>
      <c r="C4" s="3" t="inlineStr">
        <is>
          <t>Task</t>
        </is>
      </c>
      <c r="D4" s="3" t="inlineStr">
        <is>
          <t>Start</t>
        </is>
      </c>
      <c r="E4" s="3" t="inlineStr">
        <is>
          <t>Due</t>
        </is>
      </c>
      <c r="F4" s="3" t="inlineStr">
        <is>
          <t>Days</t>
        </is>
      </c>
      <c r="G4" s="3" t="inlineStr">
        <is>
          <t>Priority</t>
        </is>
      </c>
      <c r="H4" s="3" t="inlineStr">
        <is>
          <t>Depends On</t>
        </is>
      </c>
      <c r="I4" s="3" t="inlineStr">
        <is>
          <t>Status</t>
        </is>
      </c>
      <c r="J4" s="3" t="inlineStr">
        <is>
          <t>Notes</t>
        </is>
      </c>
    </row>
    <row r="5">
      <c r="A5" s="4" t="inlineStr">
        <is>
          <t>PHASE A — FOUNDATION  (before AZ primary — CRITICAL PATH)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6" t="n">
        <v>1</v>
      </c>
      <c r="B6" s="6" t="inlineStr">
        <is>
          <t>A</t>
        </is>
      </c>
      <c r="C6" s="7" t="inlineStr">
        <is>
          <t>Lock down CORS on Render (env CORS_ORIGINS = Vercel URL)</t>
        </is>
      </c>
      <c r="D6" s="8" t="n">
        <v>46212</v>
      </c>
      <c r="E6" s="8" t="n">
        <v>46212</v>
      </c>
      <c r="F6" s="6">
        <f>E6-D6</f>
        <v/>
      </c>
      <c r="G6" s="6" t="inlineStr">
        <is>
          <t>Quick</t>
        </is>
      </c>
      <c r="H6" s="6" t="inlineStr">
        <is>
          <t>-</t>
        </is>
      </c>
      <c r="I6" s="6" t="inlineStr">
        <is>
          <t>Not started</t>
        </is>
      </c>
      <c r="J6" s="7" t="inlineStr">
        <is>
          <t>5-min wrap-up from Phase 7 deploy</t>
        </is>
      </c>
    </row>
    <row r="7">
      <c r="A7" s="6" t="n">
        <v>2</v>
      </c>
      <c r="B7" s="6" t="inlineStr">
        <is>
          <t>A</t>
        </is>
      </c>
      <c r="C7" s="7" t="inlineStr">
        <is>
          <t>Feed audit round 2 — confirm each state's live ENR URL + format</t>
        </is>
      </c>
      <c r="D7" s="8" t="n">
        <v>46212</v>
      </c>
      <c r="E7" s="8" t="n">
        <v>46214</v>
      </c>
      <c r="F7" s="6">
        <f>E7-D7</f>
        <v/>
      </c>
      <c r="G7" s="6" t="inlineStr">
        <is>
          <t>High</t>
        </is>
      </c>
      <c r="H7" s="6" t="inlineStr">
        <is>
          <t>-</t>
        </is>
      </c>
      <c r="I7" s="6" t="inlineStr">
        <is>
          <t>Not started</t>
        </is>
      </c>
      <c r="J7" s="7" t="inlineStr">
        <is>
          <t>See FEED_AUDIT.md</t>
        </is>
      </c>
    </row>
    <row r="8">
      <c r="A8" s="6" t="n">
        <v>3</v>
      </c>
      <c r="B8" s="6" t="inlineStr">
        <is>
          <t>A</t>
        </is>
      </c>
      <c r="C8" s="7" t="inlineStr">
        <is>
          <t>Beat the Clarity 403 (browser-faithful fetch -&gt; Playwright fallback)</t>
        </is>
      </c>
      <c r="D8" s="8" t="n">
        <v>46212</v>
      </c>
      <c r="E8" s="8" t="n">
        <v>46219</v>
      </c>
      <c r="F8" s="6">
        <f>E8-D8</f>
        <v/>
      </c>
      <c r="G8" s="9" t="inlineStr">
        <is>
          <t>CRITICAL</t>
        </is>
      </c>
      <c r="H8" s="6" t="inlineStr">
        <is>
          <t>-</t>
        </is>
      </c>
      <c r="I8" s="6" t="inlineStr">
        <is>
          <t>Not started</t>
        </is>
      </c>
      <c r="J8" s="7" t="inlineStr">
        <is>
          <t>Gates GA/PA/TX/MI live feeds (Issue #1)</t>
        </is>
      </c>
    </row>
    <row r="9">
      <c r="A9" s="6" t="n">
        <v>4</v>
      </c>
      <c r="B9" s="6" t="inlineStr">
        <is>
          <t>A</t>
        </is>
      </c>
      <c r="C9" s="7" t="inlineStr">
        <is>
          <t>Build NC county ingestor (non-Clarity; easiest; by-voting-method)</t>
        </is>
      </c>
      <c r="D9" s="8" t="n">
        <v>46212</v>
      </c>
      <c r="E9" s="8" t="n">
        <v>46217</v>
      </c>
      <c r="F9" s="6">
        <f>E9-D9</f>
        <v/>
      </c>
      <c r="G9" s="9" t="inlineStr">
        <is>
          <t>CRITICAL</t>
        </is>
      </c>
      <c r="H9" s="6" t="inlineStr">
        <is>
          <t>-</t>
        </is>
      </c>
      <c r="I9" s="6" t="inlineStr">
        <is>
          <t>Not started</t>
        </is>
      </c>
      <c r="J9" s="7" t="inlineStr">
        <is>
          <t>Proves the county-level pattern</t>
        </is>
      </c>
    </row>
    <row r="10">
      <c r="A10" s="6" t="n">
        <v>5</v>
      </c>
      <c r="B10" s="6" t="inlineStr">
        <is>
          <t>A</t>
        </is>
      </c>
      <c r="C10" s="7" t="inlineStr">
        <is>
          <t>Build AZ county reader + dry-run vs archives</t>
        </is>
      </c>
      <c r="D10" s="8" t="n">
        <v>46218</v>
      </c>
      <c r="E10" s="8" t="n">
        <v>46223</v>
      </c>
      <c r="F10" s="6">
        <f>E10-D10</f>
        <v/>
      </c>
      <c r="G10" s="9" t="inlineStr">
        <is>
          <t>CRITICAL</t>
        </is>
      </c>
      <c r="H10" s="6" t="inlineStr">
        <is>
          <t>3</t>
        </is>
      </c>
      <c r="I10" s="6" t="inlineStr">
        <is>
          <t>Not started</t>
        </is>
      </c>
      <c r="J10" s="7" t="inlineStr">
        <is>
          <t>Must be ready for Jul 21</t>
        </is>
      </c>
    </row>
    <row r="11">
      <c r="A11" s="10" t="inlineStr"/>
      <c r="B11" s="10" t="n"/>
      <c r="C11" s="10" t="n"/>
      <c r="D11" s="11" t="n">
        <v>46224</v>
      </c>
      <c r="E11" s="10" t="inlineStr">
        <is>
          <t>AZ PRIMARY  —  LIVE TEST #1: pull AZ county feed end-to-end (irreplaceable window)</t>
        </is>
      </c>
      <c r="F11" s="10" t="n"/>
      <c r="G11" s="10" t="n"/>
      <c r="H11" s="10" t="n"/>
      <c r="I11" s="10" t="n"/>
      <c r="J11" s="10" t="n"/>
    </row>
    <row r="12">
      <c r="A12" s="4" t="inlineStr">
        <is>
          <t>PHASE B — MI PREP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6" t="n">
        <v>6</v>
      </c>
      <c r="B13" s="6" t="inlineStr">
        <is>
          <t>B</t>
        </is>
      </c>
      <c r="C13" s="7" t="inlineStr">
        <is>
          <t>Fix issues the AZ test surfaced</t>
        </is>
      </c>
      <c r="D13" s="8" t="n">
        <v>46225</v>
      </c>
      <c r="E13" s="8" t="n">
        <v>46228</v>
      </c>
      <c r="F13" s="6">
        <f>E13-D13</f>
        <v/>
      </c>
      <c r="G13" s="6" t="inlineStr">
        <is>
          <t>High</t>
        </is>
      </c>
      <c r="H13" s="6" t="inlineStr">
        <is>
          <t>AZ test</t>
        </is>
      </c>
      <c r="I13" s="6" t="inlineStr">
        <is>
          <t>Not started</t>
        </is>
      </c>
      <c r="J13" s="7" t="inlineStr"/>
    </row>
    <row r="14">
      <c r="A14" s="6" t="n">
        <v>7</v>
      </c>
      <c r="B14" s="6" t="inlineStr">
        <is>
          <t>B</t>
        </is>
      </c>
      <c r="C14" s="7" t="inlineStr">
        <is>
          <t>MI per-county Clarity discovery (county totals)</t>
        </is>
      </c>
      <c r="D14" s="8" t="n">
        <v>46229</v>
      </c>
      <c r="E14" s="8" t="n">
        <v>46235</v>
      </c>
      <c r="F14" s="6">
        <f>E14-D14</f>
        <v/>
      </c>
      <c r="G14" s="6" t="inlineStr">
        <is>
          <t>High</t>
        </is>
      </c>
      <c r="H14" s="6" t="inlineStr">
        <is>
          <t>3</t>
        </is>
      </c>
      <c r="I14" s="6" t="inlineStr">
        <is>
          <t>Not started</t>
        </is>
      </c>
      <c r="J14" s="7" t="inlineStr"/>
    </row>
    <row r="15">
      <c r="A15" s="10" t="inlineStr"/>
      <c r="B15" s="10" t="n"/>
      <c r="C15" s="10" t="n"/>
      <c r="D15" s="11" t="n">
        <v>46238</v>
      </c>
      <c r="E15" s="10" t="inlineStr">
        <is>
          <t>MI PRIMARY  —  LIVE TEST #2: per-county Clarity discovery</t>
        </is>
      </c>
      <c r="F15" s="10" t="n"/>
      <c r="G15" s="10" t="n"/>
      <c r="H15" s="10" t="n"/>
      <c r="I15" s="10" t="n"/>
      <c r="J15" s="10" t="n"/>
    </row>
    <row r="16">
      <c r="A16" s="4" t="inlineStr">
        <is>
          <t>PHASE C — WI PREP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6" t="n">
        <v>8</v>
      </c>
      <c r="B17" s="6" t="inlineStr">
        <is>
          <t>C</t>
        </is>
      </c>
      <c r="C17" s="7" t="inlineStr">
        <is>
          <t>Fill MI 2026 nominees in api/elections.py (known after Aug 4)</t>
        </is>
      </c>
      <c r="D17" s="8" t="n">
        <v>46239</v>
      </c>
      <c r="E17" s="8" t="n">
        <v>46239</v>
      </c>
      <c r="F17" s="6">
        <f>E17-D17</f>
        <v/>
      </c>
      <c r="G17" s="6" t="inlineStr">
        <is>
          <t>Quick</t>
        </is>
      </c>
      <c r="H17" s="6" t="inlineStr">
        <is>
          <t>MI primary</t>
        </is>
      </c>
      <c r="I17" s="6" t="inlineStr">
        <is>
          <t>Not started</t>
        </is>
      </c>
      <c r="J17" s="7" t="inlineStr">
        <is>
          <t>1-line edit</t>
        </is>
      </c>
    </row>
    <row r="18">
      <c r="A18" s="6" t="n">
        <v>9</v>
      </c>
      <c r="B18" s="6" t="inlineStr">
        <is>
          <t>C</t>
        </is>
      </c>
      <c r="C18" s="7" t="inlineStr">
        <is>
          <t>Build WI county-level ingestor (72 county clerk sites / AP-aggregated)</t>
        </is>
      </c>
      <c r="D18" s="8" t="n">
        <v>46239</v>
      </c>
      <c r="E18" s="8" t="n">
        <v>46244</v>
      </c>
      <c r="F18" s="6">
        <f>E18-D18</f>
        <v/>
      </c>
      <c r="G18" s="6" t="inlineStr">
        <is>
          <t>High</t>
        </is>
      </c>
      <c r="H18" s="6" t="inlineStr">
        <is>
          <t>-</t>
        </is>
      </c>
      <c r="I18" s="6" t="inlineStr">
        <is>
          <t>Not started</t>
        </is>
      </c>
      <c r="J18" s="7" t="inlineStr">
        <is>
          <t>Hardest — no statewide feed</t>
        </is>
      </c>
    </row>
    <row r="19">
      <c r="A19" s="10" t="inlineStr"/>
      <c r="B19" s="10" t="n"/>
      <c r="C19" s="10" t="n"/>
      <c r="D19" s="11" t="n">
        <v>46245</v>
      </c>
      <c r="E19" s="10" t="inlineStr">
        <is>
          <t>WI PRIMARY  —  LIVE TEST #3: WI at county level</t>
        </is>
      </c>
      <c r="F19" s="10" t="n"/>
      <c r="G19" s="10" t="n"/>
      <c r="H19" s="10" t="n"/>
      <c r="I19" s="10" t="n"/>
      <c r="J19" s="10" t="n"/>
    </row>
    <row r="20">
      <c r="A20" s="4" t="inlineStr">
        <is>
          <t>PHASE D — HARDEN  (Aug–Sep)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6" t="n">
        <v>10</v>
      </c>
      <c r="B21" s="6" t="inlineStr">
        <is>
          <t>D</t>
        </is>
      </c>
      <c r="C21" s="7" t="inlineStr">
        <is>
          <t>Finish remaining county ingestors: GA, PA, TX, NV</t>
        </is>
      </c>
      <c r="D21" s="8" t="n">
        <v>46246</v>
      </c>
      <c r="E21" s="8" t="n">
        <v>46270</v>
      </c>
      <c r="F21" s="6">
        <f>E21-D21</f>
        <v/>
      </c>
      <c r="G21" s="6" t="inlineStr">
        <is>
          <t>High</t>
        </is>
      </c>
      <c r="H21" s="6" t="inlineStr">
        <is>
          <t>3</t>
        </is>
      </c>
      <c r="I21" s="6" t="inlineStr">
        <is>
          <t>Not started</t>
        </is>
      </c>
      <c r="J21" s="7" t="inlineStr"/>
    </row>
    <row r="22">
      <c r="A22" s="6" t="n">
        <v>11</v>
      </c>
      <c r="B22" s="6" t="inlineStr">
        <is>
          <t>D</t>
        </is>
      </c>
      <c r="C22" s="7" t="inlineStr">
        <is>
          <t>Test no-primary states (NV/NC/PA/TX/GA) vs archives/specials</t>
        </is>
      </c>
      <c r="D22" s="8" t="n">
        <v>46246</v>
      </c>
      <c r="E22" s="8" t="n">
        <v>46280</v>
      </c>
      <c r="F22" s="6">
        <f>E22-D22</f>
        <v/>
      </c>
      <c r="G22" s="6" t="inlineStr">
        <is>
          <t>Med</t>
        </is>
      </c>
      <c r="H22" s="6" t="inlineStr">
        <is>
          <t>-</t>
        </is>
      </c>
      <c r="I22" s="6" t="inlineStr">
        <is>
          <t>Not started</t>
        </is>
      </c>
      <c r="J22" s="7" t="inlineStr"/>
    </row>
    <row r="23">
      <c r="A23" s="6" t="n">
        <v>12</v>
      </c>
      <c r="B23" s="6" t="inlineStr">
        <is>
          <t>D</t>
        </is>
      </c>
      <c r="C23" s="7" t="inlineStr">
        <is>
          <t>Wire live poller as prod background worker (replaces 'Next Batch')</t>
        </is>
      </c>
      <c r="D23" s="8" t="n">
        <v>46266</v>
      </c>
      <c r="E23" s="8" t="n">
        <v>46285</v>
      </c>
      <c r="F23" s="6">
        <f>E23-D23</f>
        <v/>
      </c>
      <c r="G23" s="6" t="inlineStr">
        <is>
          <t>High</t>
        </is>
      </c>
      <c r="H23" s="6" t="inlineStr">
        <is>
          <t>-</t>
        </is>
      </c>
      <c r="I23" s="6" t="inlineStr">
        <is>
          <t>Not started</t>
        </is>
      </c>
      <c r="J23" s="7" t="inlineStr"/>
    </row>
    <row r="24">
      <c r="A24" s="6" t="n">
        <v>13</v>
      </c>
      <c r="B24" s="6" t="inlineStr">
        <is>
          <t>D</t>
        </is>
      </c>
      <c r="C24" s="7" t="inlineStr">
        <is>
          <t>Load 2022 Senate data (for general2028 stub)</t>
        </is>
      </c>
      <c r="D24" s="8" t="n">
        <v>46273</v>
      </c>
      <c r="E24" s="8" t="n">
        <v>46277</v>
      </c>
      <c r="F24" s="6">
        <f>E24-D24</f>
        <v/>
      </c>
      <c r="G24" s="6" t="inlineStr">
        <is>
          <t>Low</t>
        </is>
      </c>
      <c r="H24" s="6" t="inlineStr">
        <is>
          <t>-</t>
        </is>
      </c>
      <c r="I24" s="6" t="inlineStr">
        <is>
          <t>Not started</t>
        </is>
      </c>
      <c r="J24" s="7" t="inlineStr"/>
    </row>
    <row r="25">
      <c r="A25" s="6" t="n">
        <v>14</v>
      </c>
      <c r="B25" s="6" t="inlineStr">
        <is>
          <t>D</t>
        </is>
      </c>
      <c r="C25" s="7" t="inlineStr">
        <is>
          <t>Upgrade Render -&gt; Starter ($7/mo) + persistent disk</t>
        </is>
      </c>
      <c r="D25" s="8" t="n">
        <v>46285</v>
      </c>
      <c r="E25" s="8" t="n">
        <v>46290</v>
      </c>
      <c r="F25" s="6">
        <f>E25-D25</f>
        <v/>
      </c>
      <c r="G25" s="6" t="inlineStr">
        <is>
          <t>Med</t>
        </is>
      </c>
      <c r="H25" s="6" t="inlineStr">
        <is>
          <t>-</t>
        </is>
      </c>
      <c r="I25" s="6" t="inlineStr">
        <is>
          <t>Not started</t>
        </is>
      </c>
      <c r="J25" s="7" t="inlineStr">
        <is>
          <t>Avoids cold-start DB re-download</t>
        </is>
      </c>
    </row>
    <row r="26">
      <c r="A26" s="4" t="inlineStr">
        <is>
          <t>PHASE E — PRE-ELECTION  (Oct)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s="6" t="n">
        <v>15</v>
      </c>
      <c r="B27" s="6" t="inlineStr">
        <is>
          <t>E</t>
        </is>
      </c>
      <c r="C27" s="7" t="inlineStr">
        <is>
          <t>Election-ID auto-discovery</t>
        </is>
      </c>
      <c r="D27" s="8" t="n">
        <v>46296</v>
      </c>
      <c r="E27" s="8" t="n">
        <v>46305</v>
      </c>
      <c r="F27" s="6">
        <f>E27-D27</f>
        <v/>
      </c>
      <c r="G27" s="6" t="inlineStr">
        <is>
          <t>High</t>
        </is>
      </c>
      <c r="H27" s="6" t="inlineStr">
        <is>
          <t>-</t>
        </is>
      </c>
      <c r="I27" s="6" t="inlineStr">
        <is>
          <t>Not started</t>
        </is>
      </c>
      <c r="J27" s="7" t="inlineStr">
        <is>
          <t>States publish Nov IDs shortly before</t>
        </is>
      </c>
    </row>
    <row r="28">
      <c r="A28" s="6" t="n">
        <v>16</v>
      </c>
      <c r="B28" s="6" t="inlineStr">
        <is>
          <t>E</t>
        </is>
      </c>
      <c r="C28" s="7" t="inlineStr">
        <is>
          <t>SQLite -&gt; Postgres if load warrants (optional)</t>
        </is>
      </c>
      <c r="D28" s="8" t="n">
        <v>46305</v>
      </c>
      <c r="E28" s="8" t="n">
        <v>46310</v>
      </c>
      <c r="F28" s="6">
        <f>E28-D28</f>
        <v/>
      </c>
      <c r="G28" s="6" t="inlineStr">
        <is>
          <t>Low</t>
        </is>
      </c>
      <c r="H28" s="6" t="inlineStr">
        <is>
          <t>-</t>
        </is>
      </c>
      <c r="I28" s="6" t="inlineStr">
        <is>
          <t>Not started</t>
        </is>
      </c>
      <c r="J28" s="7" t="inlineStr"/>
    </row>
    <row r="29">
      <c r="A29" s="6" t="n">
        <v>17</v>
      </c>
      <c r="B29" s="6" t="inlineStr">
        <is>
          <t>E</t>
        </is>
      </c>
      <c r="C29" s="7" t="inlineStr">
        <is>
          <t>Monitoring + alerting setup</t>
        </is>
      </c>
      <c r="D29" s="8" t="n">
        <v>46305</v>
      </c>
      <c r="E29" s="8" t="n">
        <v>46315</v>
      </c>
      <c r="F29" s="6">
        <f>E29-D29</f>
        <v/>
      </c>
      <c r="G29" s="6" t="inlineStr">
        <is>
          <t>Med</t>
        </is>
      </c>
      <c r="H29" s="6" t="inlineStr">
        <is>
          <t>-</t>
        </is>
      </c>
      <c r="I29" s="6" t="inlineStr">
        <is>
          <t>Not started</t>
        </is>
      </c>
      <c r="J29" s="7" t="inlineStr"/>
    </row>
    <row r="30">
      <c r="A30" s="4" t="inlineStr">
        <is>
          <t>PHASE F — FINAL  (late Oct → Nov 2)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>
      <c r="A31" s="6" t="n">
        <v>18</v>
      </c>
      <c r="B31" s="6" t="inlineStr">
        <is>
          <t>F</t>
        </is>
      </c>
      <c r="C31" s="7" t="inlineStr">
        <is>
          <t>Capture real 2026 election IDs as states publish</t>
        </is>
      </c>
      <c r="D31" s="8" t="n">
        <v>46316</v>
      </c>
      <c r="E31" s="8" t="n">
        <v>46327</v>
      </c>
      <c r="F31" s="6">
        <f>E31-D31</f>
        <v/>
      </c>
      <c r="G31" s="9" t="inlineStr">
        <is>
          <t>CRITICAL</t>
        </is>
      </c>
      <c r="H31" s="6" t="inlineStr">
        <is>
          <t>-</t>
        </is>
      </c>
      <c r="I31" s="6" t="inlineStr">
        <is>
          <t>Not started</t>
        </is>
      </c>
      <c r="J31" s="7" t="inlineStr">
        <is>
          <t>Ongoing as states publish</t>
        </is>
      </c>
    </row>
    <row r="32">
      <c r="A32" s="6" t="n">
        <v>19</v>
      </c>
      <c r="B32" s="6" t="inlineStr">
        <is>
          <t>F</t>
        </is>
      </c>
      <c r="C32" s="7" t="inlineStr">
        <is>
          <t>Full dry-run vs live (0%-reported) feeds end-to-end</t>
        </is>
      </c>
      <c r="D32" s="8" t="n">
        <v>46321</v>
      </c>
      <c r="E32" s="8" t="n">
        <v>46325</v>
      </c>
      <c r="F32" s="6">
        <f>E32-D32</f>
        <v/>
      </c>
      <c r="G32" s="9" t="inlineStr">
        <is>
          <t>CRITICAL</t>
        </is>
      </c>
      <c r="H32" s="6" t="inlineStr">
        <is>
          <t>18</t>
        </is>
      </c>
      <c r="I32" s="6" t="inlineStr">
        <is>
          <t>Not started</t>
        </is>
      </c>
      <c r="J32" s="7" t="inlineStr"/>
    </row>
    <row r="33">
      <c r="A33" s="6" t="n">
        <v>20</v>
      </c>
      <c r="B33" s="6" t="inlineStr">
        <is>
          <t>F</t>
        </is>
      </c>
      <c r="C33" s="7" t="inlineStr">
        <is>
          <t>Final rehearsal + on-call / monitoring plan</t>
        </is>
      </c>
      <c r="D33" s="8" t="n">
        <v>46327</v>
      </c>
      <c r="E33" s="8" t="n">
        <v>46328</v>
      </c>
      <c r="F33" s="6">
        <f>E33-D33</f>
        <v/>
      </c>
      <c r="G33" s="6" t="inlineStr">
        <is>
          <t>High</t>
        </is>
      </c>
      <c r="H33" s="6" t="inlineStr">
        <is>
          <t>-</t>
        </is>
      </c>
      <c r="I33" s="6" t="inlineStr">
        <is>
          <t>Not started</t>
        </is>
      </c>
      <c r="J33" s="7" t="inlineStr"/>
    </row>
    <row r="34">
      <c r="A34" s="10" t="inlineStr"/>
      <c r="B34" s="10" t="n"/>
      <c r="C34" s="10" t="n"/>
      <c r="D34" s="11" t="n">
        <v>46329</v>
      </c>
      <c r="E34" s="10" t="inlineStr">
        <is>
          <t>ELECTION NIGHT  —  GO LIVE</t>
        </is>
      </c>
      <c r="F34" s="10" t="n"/>
      <c r="G34" s="10" t="n"/>
      <c r="H34" s="10" t="n"/>
      <c r="I34" s="10" t="n"/>
      <c r="J34" s="10" t="n"/>
    </row>
  </sheetData>
  <mergeCells count="12">
    <mergeCell ref="A1:J1"/>
    <mergeCell ref="A5:J5"/>
    <mergeCell ref="E11:J11"/>
    <mergeCell ref="E19:J19"/>
    <mergeCell ref="A16:J16"/>
    <mergeCell ref="A30:J30"/>
    <mergeCell ref="A12:J12"/>
    <mergeCell ref="A20:J20"/>
    <mergeCell ref="A26:J26"/>
    <mergeCell ref="A2:J2"/>
    <mergeCell ref="E34:J34"/>
    <mergeCell ref="E15:J15"/>
  </mergeCells>
  <dataValidations count="1">
    <dataValidation sqref="I6 I7 I8 I9 I10 I13 I14 I17 I18 I21 I22 I23 I24 I25 I27 I28 I29 I31 I32 I33" showDropDown="0" showInputMessage="0" showErrorMessage="0" allowBlank="1" type="list">
      <formula1>"Not started,In progress,Blocked,Done"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46" customWidth="1" min="3" max="3"/>
    <col width="11" customWidth="1" min="4" max="4"/>
  </cols>
  <sheetData>
    <row r="1">
      <c r="A1" s="3" t="inlineStr">
        <is>
          <t>Milestone</t>
        </is>
      </c>
      <c r="B1" s="3" t="inlineStr">
        <is>
          <t>Date</t>
        </is>
      </c>
      <c r="C1" s="3" t="inlineStr">
        <is>
          <t>Notes</t>
        </is>
      </c>
      <c r="D1" s="3" t="inlineStr">
        <is>
          <t>Days away</t>
        </is>
      </c>
    </row>
    <row r="2">
      <c r="A2" s="12" t="inlineStr">
        <is>
          <t>Work starts</t>
        </is>
      </c>
      <c r="B2" s="13" t="n">
        <v>46212</v>
      </c>
      <c r="C2" t="inlineStr">
        <is>
          <t>Begin Phase A (critical path)</t>
        </is>
      </c>
      <c r="D2" s="14">
        <f>B2-TODAY()</f>
        <v/>
      </c>
    </row>
    <row r="3">
      <c r="A3" s="12" t="inlineStr">
        <is>
          <t>AZ primary — live test #1</t>
        </is>
      </c>
      <c r="B3" s="13" t="n">
        <v>46224</v>
      </c>
      <c r="C3" t="inlineStr">
        <is>
          <t>Must have Clarity-403 fix + a county ingestor ready</t>
        </is>
      </c>
      <c r="D3" s="14">
        <f>B3-TODAY()</f>
        <v/>
      </c>
    </row>
    <row r="4">
      <c r="A4" s="12" t="inlineStr">
        <is>
          <t>MI primary — live test #2</t>
        </is>
      </c>
      <c r="B4" s="13" t="n">
        <v>46238</v>
      </c>
      <c r="C4" t="inlineStr">
        <is>
          <t>MI nominees decided here</t>
        </is>
      </c>
      <c r="D4" s="14">
        <f>B4-TODAY()</f>
        <v/>
      </c>
    </row>
    <row r="5">
      <c r="A5" s="12" t="inlineStr">
        <is>
          <t>WI primary — live test #3</t>
        </is>
      </c>
      <c r="B5" s="13" t="n">
        <v>46245</v>
      </c>
      <c r="C5" t="inlineStr">
        <is>
          <t>Hardest state (no statewide feed)</t>
        </is>
      </c>
      <c r="D5" s="14">
        <f>B5-TODAY()</f>
        <v/>
      </c>
    </row>
    <row r="6">
      <c r="A6" s="12" t="inlineStr">
        <is>
          <t>ELECTION NIGHT — go live</t>
        </is>
      </c>
      <c r="B6" s="13" t="n">
        <v>46329</v>
      </c>
      <c r="C6" t="inlineStr">
        <is>
          <t>Senate Class-2: GA/MI/NC/TX (no President in 2026)</t>
        </is>
      </c>
      <c r="D6" s="14">
        <f>B6-TODAY()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2026-07-06T22:43:27Z</dcterms:created>
  <dcterms:modified xmlns:dcterms="http://purl.org/dc/terms/" xmlns:xsi="http://www.w3.org/2001/XMLSchema-instance" xsi:type="dcterms:W3CDTF">2026-07-06T22:43:27Z</dcterms:modified>
</cp:coreProperties>
</file>